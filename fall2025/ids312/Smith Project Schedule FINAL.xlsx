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13_ncr:1_{D661DD1A-7158-4A41-8733-190AED6AD83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Planner'!$I1)))+('Project Planner'!A$4='Project Planner'!$E1))*('Project Planner'!$I1&gt;0)</definedName>
    <definedName name="period_selected">'Project Planner'!$J$2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l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</calcChain>
</file>

<file path=xl/sharedStrings.xml><?xml version="1.0" encoding="utf-8"?>
<sst xmlns="http://schemas.openxmlformats.org/spreadsheetml/2006/main" count="100" uniqueCount="88">
  <si>
    <t>PERIODS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</si>
  <si>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</si>
  <si>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</si>
  <si>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</si>
  <si>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</si>
  <si>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ACTUAL START</t>
  </si>
  <si>
    <t>ACTUAL DURATION</t>
  </si>
  <si>
    <t>PERCENT COMPLETE</t>
  </si>
  <si>
    <t>Actual Start</t>
  </si>
  <si>
    <t>Plan Duration</t>
  </si>
  <si>
    <t>PLAN DURATION (DAYS)</t>
  </si>
  <si>
    <t>MILESTONE</t>
  </si>
  <si>
    <t>Project charter review and approval</t>
  </si>
  <si>
    <t>Project management plan development</t>
  </si>
  <si>
    <t>TEAM MEMBERS RESPONSIBLE</t>
  </si>
  <si>
    <t>Project Manager</t>
  </si>
  <si>
    <t>Identify existing moblity data sources</t>
  </si>
  <si>
    <t>Data Analytics Team</t>
  </si>
  <si>
    <t>Assess data availability and quality</t>
  </si>
  <si>
    <t>Data Analytics Team Lead</t>
  </si>
  <si>
    <t>Define data privacy requirements</t>
  </si>
  <si>
    <t>RESOURCES REQUIRED</t>
  </si>
  <si>
    <t>MetroMobility Data Analytics Project Schedule</t>
  </si>
  <si>
    <t>Projected Start Date: Monday, January 5, 2026</t>
  </si>
  <si>
    <t>Projected End Date: Wednesday, September 23, 2026</t>
  </si>
  <si>
    <t>Total duration: 180 business days</t>
  </si>
  <si>
    <t>Identify performance metrics</t>
  </si>
  <si>
    <t>Define KPI calculation methodologies</t>
  </si>
  <si>
    <t>Standardize KPIs across agencies</t>
  </si>
  <si>
    <t>PLANNED START DAY</t>
  </si>
  <si>
    <t>Validate KPIs with stakeholders</t>
  </si>
  <si>
    <t>Finalize approved KPI list</t>
  </si>
  <si>
    <t>Define overall system architecture</t>
  </si>
  <si>
    <t>Data Architect, Data Analytics Team Lead</t>
  </si>
  <si>
    <t>Architecture diagrams, modeling tools</t>
  </si>
  <si>
    <t>Select data warehouse approach</t>
  </si>
  <si>
    <t>Project Manager, Data Architect</t>
  </si>
  <si>
    <t>Vendor whitepapers, cost estimates</t>
  </si>
  <si>
    <t>Define data integration processes</t>
  </si>
  <si>
    <t>Data Engineers, Data Architect</t>
  </si>
  <si>
    <t>ETL design tools</t>
  </si>
  <si>
    <t>Define data security &amp; privacy measures</t>
  </si>
  <si>
    <t>Security Analyst, Project Manager</t>
  </si>
  <si>
    <t>Compliance guidelines, legal input</t>
  </si>
  <si>
    <t>Evaluate technology platforms &amp; tools</t>
  </si>
  <si>
    <t>Vendor demos, trial licenses</t>
  </si>
  <si>
    <t>Develop system architecture documentation</t>
  </si>
  <si>
    <t>Data Architect</t>
  </si>
  <si>
    <t>Documentation tools</t>
  </si>
  <si>
    <t>Set up pilot data warehouse environment</t>
  </si>
  <si>
    <t>Data Engineers</t>
  </si>
  <si>
    <t>Cloud infrastructure, DB software</t>
  </si>
  <si>
    <t>Develop data tables and models</t>
  </si>
  <si>
    <t>Data modeling tools</t>
  </si>
  <si>
    <t>Build ETL pipelines</t>
  </si>
  <si>
    <t>ETL framework, APIs</t>
  </si>
  <si>
    <t>Implement data privacy controls</t>
  </si>
  <si>
    <t>Security Analyst, Data Engineers</t>
  </si>
  <si>
    <t>Encryption tools</t>
  </si>
  <si>
    <t>Validate and test integrated data environment</t>
  </si>
  <si>
    <t>QA Analyst, Data Analytics Team</t>
  </si>
  <si>
    <t>Test datasets, validation scripts</t>
  </si>
  <si>
    <t>Resolve data quality issues</t>
  </si>
  <si>
    <t>Data profiling tools</t>
  </si>
  <si>
    <t>Define dashboard requirements</t>
  </si>
  <si>
    <t>Project Manager, Stakeholders</t>
  </si>
  <si>
    <t>Requirements workshops</t>
  </si>
  <si>
    <t>Design dashboard user interface</t>
  </si>
  <si>
    <t>UX Designer, Data Analytics Team</t>
  </si>
  <si>
    <t>UI wireframing tools</t>
  </si>
  <si>
    <t>Develop dashboards and connect to warehouse</t>
  </si>
  <si>
    <t>Dashboard UI software, DB software</t>
  </si>
  <si>
    <t>Dashboard testing &amp; stakeholder review</t>
  </si>
  <si>
    <t>QA Analyst, Stakeholders</t>
  </si>
  <si>
    <t>UAT sessions</t>
  </si>
  <si>
    <t>Project Manager, Data Analytics Team Lead</t>
  </si>
  <si>
    <t>Final reporting, policy recommendations, closeout</t>
  </si>
  <si>
    <t>Final reports, presentation decks</t>
  </si>
  <si>
    <t>Project charter draft, documentation tools</t>
  </si>
  <si>
    <t>Project budget draft, stakeholder register</t>
  </si>
  <si>
    <t>Legal data privacy guidelines</t>
  </si>
  <si>
    <t>Access to vendor and agency datasets</t>
  </si>
  <si>
    <t>Sample datasets from each source, data profiling tools</t>
  </si>
  <si>
    <t>Workshops with city planners and data analytics team</t>
  </si>
  <si>
    <t>KPI formula templates</t>
  </si>
  <si>
    <t>KPI documentation, cross-agency meetings</t>
  </si>
  <si>
    <t>KPI drafts</t>
  </si>
  <si>
    <t>Stakeholder review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</si>
</sst>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0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4" fillId="0" borderId="0" xfId="2" applyFont="1">
      <alignment horizontal="left" wrapText="1"/>
    </xf>
    <xf numFmtId="0" fontId="7" fillId="0" borderId="0" xfId="0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5" fillId="0" borderId="0" xfId="0" applyFont="1" applyAlignment="1">
      <alignment horizont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GG31"/>
  <sheetViews>
    <sheetView showGridLines="0" tabSelected="1" zoomScaleNormal="100" zoomScaleSheetLayoutView="80" workbookViewId="0">
      <selection activeCell="H15" sqref="H15"/>
    </sheetView>
  </sheetViews>
  <sheetFormatPr defaultColWidth="2.75" defaultRowHeight="30" customHeight="1" x14ac:dyDescent="0.3"/>
  <cols>
    <col min="1" max="1" width="2.625" customWidth="1"/>
    <col min="2" max="2" width="48.25" style="2" customWidth="1"/>
    <col min="3" max="6" width="11.625" style="1" customWidth="1"/>
    <col min="7" max="7" width="40.25" style="1" bestFit="1" customWidth="1"/>
    <col min="8" max="8" width="46.25" style="1" bestFit="1" customWidth="1"/>
    <col min="9" max="9" width="15.625" style="4" customWidth="1"/>
    <col min="10" max="29" width="2.75" style="1"/>
    <col min="109" max="189" width="3.5" bestFit="1" customWidth="1"/>
  </cols>
  <sheetData>
    <row r="1" spans="2:189" ht="60" customHeight="1" thickBot="1" x14ac:dyDescent="0.85">
      <c r="B1" s="14" t="s">
        <v>22</v>
      </c>
      <c r="C1" s="13"/>
      <c r="D1" s="13"/>
      <c r="E1" s="13"/>
      <c r="F1" s="13"/>
      <c r="G1" s="13"/>
      <c r="H1" s="13"/>
      <c r="I1" s="13"/>
    </row>
    <row r="2" spans="2:189" ht="21" customHeight="1" thickTop="1" thickBot="1" x14ac:dyDescent="0.3">
      <c r="B2" s="22" t="s">
        <v>23</v>
      </c>
      <c r="C2" s="22" t="s">
        <v>24</v>
      </c>
      <c r="D2" s="22"/>
      <c r="E2" s="22"/>
      <c r="F2" s="22"/>
      <c r="G2" s="22" t="s">
        <v>25</v>
      </c>
      <c r="H2" s="22"/>
      <c r="I2" s="5" t="s">
        <v>4</v>
      </c>
      <c r="J2" s="15">
        <v>1</v>
      </c>
      <c r="L2" s="16"/>
      <c r="M2" s="34" t="s">
        <v>9</v>
      </c>
      <c r="N2" s="35"/>
      <c r="O2" s="35"/>
      <c r="P2" s="35"/>
      <c r="Q2" s="36"/>
      <c r="R2" s="17"/>
      <c r="S2" s="34" t="s">
        <v>8</v>
      </c>
      <c r="T2" s="37"/>
      <c r="U2" s="37"/>
      <c r="V2" s="36"/>
      <c r="W2" s="18"/>
      <c r="X2" s="27" t="s">
        <v>1</v>
      </c>
      <c r="Y2" s="28"/>
      <c r="Z2" s="28"/>
      <c r="AA2" s="38"/>
      <c r="AB2" s="19"/>
      <c r="AC2" s="27" t="s">
        <v>2</v>
      </c>
      <c r="AD2" s="28"/>
      <c r="AE2" s="28"/>
      <c r="AF2" s="28"/>
      <c r="AG2" s="28"/>
      <c r="AH2" s="28"/>
      <c r="AI2" s="38"/>
      <c r="AJ2" s="20"/>
      <c r="AK2" s="27" t="s">
        <v>3</v>
      </c>
      <c r="AL2" s="28"/>
      <c r="AM2" s="28"/>
      <c r="AN2" s="28"/>
      <c r="AO2" s="28"/>
      <c r="AP2" s="28"/>
      <c r="AQ2" s="28"/>
      <c r="AR2" s="28"/>
    </row>
    <row r="3" spans="2:189" s="12" customFormat="1" ht="39.950000000000003" customHeight="1" thickTop="1" x14ac:dyDescent="0.25">
      <c r="B3" s="29" t="s">
        <v>11</v>
      </c>
      <c r="C3" s="31" t="s">
        <v>29</v>
      </c>
      <c r="D3" s="31" t="s">
        <v>10</v>
      </c>
      <c r="E3" s="31" t="s">
        <v>5</v>
      </c>
      <c r="F3" s="31" t="s">
        <v>6</v>
      </c>
      <c r="G3" s="31" t="s">
        <v>14</v>
      </c>
      <c r="H3" s="23" t="s">
        <v>21</v>
      </c>
      <c r="I3" s="33" t="s">
        <v>7</v>
      </c>
      <c r="J3" s="21" t="s">
        <v>0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2:189" ht="15.75" customHeight="1" x14ac:dyDescent="0.25">
      <c r="B4" s="30"/>
      <c r="C4" s="32"/>
      <c r="D4" s="32"/>
      <c r="E4" s="32"/>
      <c r="F4" s="32"/>
      <c r="G4" s="32"/>
      <c r="H4" s="24"/>
      <c r="I4" s="32"/>
      <c r="J4" s="3">
        <v>1</v>
      </c>
      <c r="K4" s="3">
        <f>J4+1</f>
        <v>2</v>
      </c>
      <c r="L4" s="3">
        <f t="shared" ref="L4:BW4" si="0">K4+1</f>
        <v>3</v>
      </c>
      <c r="M4" s="3">
        <f t="shared" si="0"/>
        <v>4</v>
      </c>
      <c r="N4" s="3">
        <f t="shared" si="0"/>
        <v>5</v>
      </c>
      <c r="O4" s="3">
        <f t="shared" si="0"/>
        <v>6</v>
      </c>
      <c r="P4" s="3">
        <f t="shared" si="0"/>
        <v>7</v>
      </c>
      <c r="Q4" s="3">
        <f t="shared" si="0"/>
        <v>8</v>
      </c>
      <c r="R4" s="3">
        <f t="shared" si="0"/>
        <v>9</v>
      </c>
      <c r="S4" s="3">
        <f t="shared" si="0"/>
        <v>10</v>
      </c>
      <c r="T4" s="3">
        <f t="shared" si="0"/>
        <v>11</v>
      </c>
      <c r="U4" s="3">
        <f t="shared" si="0"/>
        <v>12</v>
      </c>
      <c r="V4" s="3">
        <f t="shared" si="0"/>
        <v>13</v>
      </c>
      <c r="W4" s="3">
        <f t="shared" si="0"/>
        <v>14</v>
      </c>
      <c r="X4" s="3">
        <f t="shared" si="0"/>
        <v>15</v>
      </c>
      <c r="Y4" s="3">
        <f t="shared" si="0"/>
        <v>16</v>
      </c>
      <c r="Z4" s="3">
        <f t="shared" si="0"/>
        <v>17</v>
      </c>
      <c r="AA4" s="3">
        <f t="shared" si="0"/>
        <v>18</v>
      </c>
      <c r="AB4" s="3">
        <f t="shared" si="0"/>
        <v>19</v>
      </c>
      <c r="AC4" s="3">
        <f t="shared" si="0"/>
        <v>20</v>
      </c>
      <c r="AD4" s="3">
        <f t="shared" si="0"/>
        <v>21</v>
      </c>
      <c r="AE4" s="3">
        <f t="shared" si="0"/>
        <v>22</v>
      </c>
      <c r="AF4" s="3">
        <f t="shared" si="0"/>
        <v>23</v>
      </c>
      <c r="AG4" s="3">
        <f t="shared" si="0"/>
        <v>24</v>
      </c>
      <c r="AH4" s="3">
        <f t="shared" si="0"/>
        <v>25</v>
      </c>
      <c r="AI4" s="3">
        <f t="shared" si="0"/>
        <v>26</v>
      </c>
      <c r="AJ4" s="3">
        <f t="shared" si="0"/>
        <v>27</v>
      </c>
      <c r="AK4" s="3">
        <f t="shared" si="0"/>
        <v>28</v>
      </c>
      <c r="AL4" s="3">
        <f t="shared" si="0"/>
        <v>29</v>
      </c>
      <c r="AM4" s="3">
        <f t="shared" si="0"/>
        <v>30</v>
      </c>
      <c r="AN4" s="3">
        <f t="shared" si="0"/>
        <v>31</v>
      </c>
      <c r="AO4" s="3">
        <f t="shared" si="0"/>
        <v>32</v>
      </c>
      <c r="AP4" s="3">
        <f t="shared" si="0"/>
        <v>33</v>
      </c>
      <c r="AQ4" s="3">
        <f t="shared" si="0"/>
        <v>34</v>
      </c>
      <c r="AR4" s="3">
        <f t="shared" si="0"/>
        <v>35</v>
      </c>
      <c r="AS4" s="3">
        <f t="shared" si="0"/>
        <v>36</v>
      </c>
      <c r="AT4" s="3">
        <f t="shared" si="0"/>
        <v>37</v>
      </c>
      <c r="AU4" s="3">
        <f t="shared" si="0"/>
        <v>38</v>
      </c>
      <c r="AV4" s="3">
        <f t="shared" si="0"/>
        <v>39</v>
      </c>
      <c r="AW4" s="3">
        <f t="shared" si="0"/>
        <v>40</v>
      </c>
      <c r="AX4" s="3">
        <f t="shared" si="0"/>
        <v>41</v>
      </c>
      <c r="AY4" s="3">
        <f t="shared" si="0"/>
        <v>42</v>
      </c>
      <c r="AZ4" s="3">
        <f t="shared" si="0"/>
        <v>43</v>
      </c>
      <c r="BA4" s="3">
        <f t="shared" si="0"/>
        <v>44</v>
      </c>
      <c r="BB4" s="3">
        <f t="shared" si="0"/>
        <v>45</v>
      </c>
      <c r="BC4" s="3">
        <f t="shared" si="0"/>
        <v>46</v>
      </c>
      <c r="BD4" s="3">
        <f t="shared" si="0"/>
        <v>47</v>
      </c>
      <c r="BE4" s="3">
        <f t="shared" si="0"/>
        <v>48</v>
      </c>
      <c r="BF4" s="3">
        <f t="shared" si="0"/>
        <v>49</v>
      </c>
      <c r="BG4" s="3">
        <f t="shared" si="0"/>
        <v>50</v>
      </c>
      <c r="BH4" s="3">
        <f t="shared" si="0"/>
        <v>51</v>
      </c>
      <c r="BI4" s="3">
        <f t="shared" si="0"/>
        <v>52</v>
      </c>
      <c r="BJ4" s="3">
        <f t="shared" si="0"/>
        <v>53</v>
      </c>
      <c r="BK4" s="3">
        <f t="shared" si="0"/>
        <v>54</v>
      </c>
      <c r="BL4" s="3">
        <f t="shared" si="0"/>
        <v>55</v>
      </c>
      <c r="BM4" s="3">
        <f t="shared" si="0"/>
        <v>56</v>
      </c>
      <c r="BN4" s="3">
        <f t="shared" si="0"/>
        <v>57</v>
      </c>
      <c r="BO4" s="3">
        <f t="shared" si="0"/>
        <v>58</v>
      </c>
      <c r="BP4" s="3">
        <f t="shared" si="0"/>
        <v>59</v>
      </c>
      <c r="BQ4" s="3">
        <f t="shared" si="0"/>
        <v>60</v>
      </c>
      <c r="BR4" s="3">
        <f t="shared" si="0"/>
        <v>61</v>
      </c>
      <c r="BS4" s="3">
        <f t="shared" si="0"/>
        <v>62</v>
      </c>
      <c r="BT4" s="3">
        <f t="shared" si="0"/>
        <v>63</v>
      </c>
      <c r="BU4" s="3">
        <f t="shared" si="0"/>
        <v>64</v>
      </c>
      <c r="BV4" s="3">
        <f t="shared" si="0"/>
        <v>65</v>
      </c>
      <c r="BW4" s="3">
        <f t="shared" si="0"/>
        <v>66</v>
      </c>
      <c r="BX4" s="3">
        <f t="shared" ref="BX4:EI4" si="1">BW4+1</f>
        <v>67</v>
      </c>
      <c r="BY4" s="3">
        <f t="shared" si="1"/>
        <v>68</v>
      </c>
      <c r="BZ4" s="3">
        <f t="shared" si="1"/>
        <v>69</v>
      </c>
      <c r="CA4" s="3">
        <f t="shared" si="1"/>
        <v>70</v>
      </c>
      <c r="CB4" s="3">
        <f t="shared" si="1"/>
        <v>71</v>
      </c>
      <c r="CC4" s="3">
        <f t="shared" si="1"/>
        <v>72</v>
      </c>
      <c r="CD4" s="3">
        <f t="shared" si="1"/>
        <v>73</v>
      </c>
      <c r="CE4" s="3">
        <f t="shared" si="1"/>
        <v>74</v>
      </c>
      <c r="CF4" s="3">
        <f t="shared" si="1"/>
        <v>75</v>
      </c>
      <c r="CG4" s="3">
        <f t="shared" si="1"/>
        <v>76</v>
      </c>
      <c r="CH4" s="3">
        <f t="shared" si="1"/>
        <v>77</v>
      </c>
      <c r="CI4" s="3">
        <f t="shared" si="1"/>
        <v>78</v>
      </c>
      <c r="CJ4" s="3">
        <f t="shared" si="1"/>
        <v>79</v>
      </c>
      <c r="CK4" s="3">
        <f t="shared" si="1"/>
        <v>80</v>
      </c>
      <c r="CL4" s="3">
        <f t="shared" si="1"/>
        <v>81</v>
      </c>
      <c r="CM4" s="3">
        <f t="shared" si="1"/>
        <v>82</v>
      </c>
      <c r="CN4" s="3">
        <f t="shared" si="1"/>
        <v>83</v>
      </c>
      <c r="CO4" s="3">
        <f t="shared" si="1"/>
        <v>84</v>
      </c>
      <c r="CP4" s="3">
        <f t="shared" si="1"/>
        <v>85</v>
      </c>
      <c r="CQ4" s="3">
        <f t="shared" si="1"/>
        <v>86</v>
      </c>
      <c r="CR4" s="3">
        <f t="shared" si="1"/>
        <v>87</v>
      </c>
      <c r="CS4" s="3">
        <f t="shared" si="1"/>
        <v>88</v>
      </c>
      <c r="CT4" s="3">
        <f t="shared" si="1"/>
        <v>89</v>
      </c>
      <c r="CU4" s="3">
        <f t="shared" si="1"/>
        <v>90</v>
      </c>
      <c r="CV4" s="3">
        <f t="shared" si="1"/>
        <v>91</v>
      </c>
      <c r="CW4" s="3">
        <f t="shared" si="1"/>
        <v>92</v>
      </c>
      <c r="CX4" s="3">
        <f t="shared" si="1"/>
        <v>93</v>
      </c>
      <c r="CY4" s="3">
        <f t="shared" si="1"/>
        <v>94</v>
      </c>
      <c r="CZ4" s="3">
        <f t="shared" si="1"/>
        <v>95</v>
      </c>
      <c r="DA4" s="3">
        <f t="shared" si="1"/>
        <v>96</v>
      </c>
      <c r="DB4" s="3">
        <f t="shared" si="1"/>
        <v>97</v>
      </c>
      <c r="DC4" s="3">
        <f t="shared" si="1"/>
        <v>98</v>
      </c>
      <c r="DD4" s="3">
        <f t="shared" si="1"/>
        <v>99</v>
      </c>
      <c r="DE4" s="3">
        <f t="shared" si="1"/>
        <v>100</v>
      </c>
      <c r="DF4" s="3">
        <f t="shared" si="1"/>
        <v>101</v>
      </c>
      <c r="DG4" s="3">
        <f t="shared" si="1"/>
        <v>102</v>
      </c>
      <c r="DH4" s="3">
        <f t="shared" si="1"/>
        <v>103</v>
      </c>
      <c r="DI4" s="3">
        <f t="shared" si="1"/>
        <v>104</v>
      </c>
      <c r="DJ4" s="3">
        <f t="shared" si="1"/>
        <v>105</v>
      </c>
      <c r="DK4" s="3">
        <f t="shared" si="1"/>
        <v>106</v>
      </c>
      <c r="DL4" s="3">
        <f t="shared" si="1"/>
        <v>107</v>
      </c>
      <c r="DM4" s="3">
        <f t="shared" si="1"/>
        <v>108</v>
      </c>
      <c r="DN4" s="3">
        <f t="shared" si="1"/>
        <v>109</v>
      </c>
      <c r="DO4" s="3">
        <f t="shared" si="1"/>
        <v>110</v>
      </c>
      <c r="DP4" s="3">
        <f t="shared" si="1"/>
        <v>111</v>
      </c>
      <c r="DQ4" s="3">
        <f t="shared" si="1"/>
        <v>112</v>
      </c>
      <c r="DR4" s="3">
        <f t="shared" si="1"/>
        <v>113</v>
      </c>
      <c r="DS4" s="3">
        <f t="shared" si="1"/>
        <v>114</v>
      </c>
      <c r="DT4" s="3">
        <f t="shared" si="1"/>
        <v>115</v>
      </c>
      <c r="DU4" s="3">
        <f t="shared" si="1"/>
        <v>116</v>
      </c>
      <c r="DV4" s="3">
        <f t="shared" si="1"/>
        <v>117</v>
      </c>
      <c r="DW4" s="3">
        <f t="shared" si="1"/>
        <v>118</v>
      </c>
      <c r="DX4" s="3">
        <f t="shared" si="1"/>
        <v>119</v>
      </c>
      <c r="DY4" s="3">
        <f t="shared" si="1"/>
        <v>120</v>
      </c>
      <c r="DZ4" s="3">
        <f t="shared" si="1"/>
        <v>121</v>
      </c>
      <c r="EA4" s="3">
        <f t="shared" si="1"/>
        <v>122</v>
      </c>
      <c r="EB4" s="3">
        <f t="shared" si="1"/>
        <v>123</v>
      </c>
      <c r="EC4" s="3">
        <f t="shared" si="1"/>
        <v>124</v>
      </c>
      <c r="ED4" s="3">
        <f t="shared" si="1"/>
        <v>125</v>
      </c>
      <c r="EE4" s="3">
        <f t="shared" si="1"/>
        <v>126</v>
      </c>
      <c r="EF4" s="3">
        <f t="shared" si="1"/>
        <v>127</v>
      </c>
      <c r="EG4" s="3">
        <f t="shared" si="1"/>
        <v>128</v>
      </c>
      <c r="EH4" s="3">
        <f t="shared" si="1"/>
        <v>129</v>
      </c>
      <c r="EI4" s="3">
        <f t="shared" si="1"/>
        <v>130</v>
      </c>
      <c r="EJ4" s="3">
        <f t="shared" ref="EJ4:GG4" si="2">EI4+1</f>
        <v>131</v>
      </c>
      <c r="EK4" s="3">
        <f t="shared" si="2"/>
        <v>132</v>
      </c>
      <c r="EL4" s="3">
        <f t="shared" si="2"/>
        <v>133</v>
      </c>
      <c r="EM4" s="3">
        <f t="shared" si="2"/>
        <v>134</v>
      </c>
      <c r="EN4" s="3">
        <f t="shared" si="2"/>
        <v>135</v>
      </c>
      <c r="EO4" s="3">
        <f t="shared" si="2"/>
        <v>136</v>
      </c>
      <c r="EP4" s="3">
        <f t="shared" si="2"/>
        <v>137</v>
      </c>
      <c r="EQ4" s="3">
        <f t="shared" si="2"/>
        <v>138</v>
      </c>
      <c r="ER4" s="3">
        <f t="shared" si="2"/>
        <v>139</v>
      </c>
      <c r="ES4" s="3">
        <f t="shared" si="2"/>
        <v>140</v>
      </c>
      <c r="ET4" s="3">
        <f t="shared" si="2"/>
        <v>141</v>
      </c>
      <c r="EU4" s="3">
        <f t="shared" si="2"/>
        <v>142</v>
      </c>
      <c r="EV4" s="3">
        <f t="shared" si="2"/>
        <v>143</v>
      </c>
      <c r="EW4" s="3">
        <f t="shared" si="2"/>
        <v>144</v>
      </c>
      <c r="EX4" s="3">
        <f t="shared" si="2"/>
        <v>145</v>
      </c>
      <c r="EY4" s="3">
        <f t="shared" si="2"/>
        <v>146</v>
      </c>
      <c r="EZ4" s="3">
        <f t="shared" si="2"/>
        <v>147</v>
      </c>
      <c r="FA4" s="3">
        <f t="shared" si="2"/>
        <v>148</v>
      </c>
      <c r="FB4" s="3">
        <f t="shared" si="2"/>
        <v>149</v>
      </c>
      <c r="FC4" s="3">
        <f t="shared" si="2"/>
        <v>150</v>
      </c>
      <c r="FD4" s="3">
        <f t="shared" si="2"/>
        <v>151</v>
      </c>
      <c r="FE4" s="3">
        <f t="shared" si="2"/>
        <v>152</v>
      </c>
      <c r="FF4" s="3">
        <f t="shared" si="2"/>
        <v>153</v>
      </c>
      <c r="FG4" s="3">
        <f t="shared" si="2"/>
        <v>154</v>
      </c>
      <c r="FH4" s="3">
        <f t="shared" si="2"/>
        <v>155</v>
      </c>
      <c r="FI4" s="3">
        <f t="shared" si="2"/>
        <v>156</v>
      </c>
      <c r="FJ4" s="3">
        <f t="shared" si="2"/>
        <v>157</v>
      </c>
      <c r="FK4" s="3">
        <f t="shared" si="2"/>
        <v>158</v>
      </c>
      <c r="FL4" s="3">
        <f t="shared" si="2"/>
        <v>159</v>
      </c>
      <c r="FM4" s="3">
        <f t="shared" si="2"/>
        <v>160</v>
      </c>
      <c r="FN4" s="3">
        <f t="shared" si="2"/>
        <v>161</v>
      </c>
      <c r="FO4" s="3">
        <f t="shared" si="2"/>
        <v>162</v>
      </c>
      <c r="FP4" s="3">
        <f t="shared" si="2"/>
        <v>163</v>
      </c>
      <c r="FQ4" s="3">
        <f t="shared" si="2"/>
        <v>164</v>
      </c>
      <c r="FR4" s="3">
        <f t="shared" si="2"/>
        <v>165</v>
      </c>
      <c r="FS4" s="3">
        <f t="shared" si="2"/>
        <v>166</v>
      </c>
      <c r="FT4" s="3">
        <f t="shared" si="2"/>
        <v>167</v>
      </c>
      <c r="FU4" s="3">
        <f t="shared" si="2"/>
        <v>168</v>
      </c>
      <c r="FV4" s="3">
        <f t="shared" si="2"/>
        <v>169</v>
      </c>
      <c r="FW4" s="3">
        <f t="shared" si="2"/>
        <v>170</v>
      </c>
      <c r="FX4" s="3">
        <f t="shared" si="2"/>
        <v>171</v>
      </c>
      <c r="FY4" s="3">
        <f t="shared" si="2"/>
        <v>172</v>
      </c>
      <c r="FZ4" s="3">
        <f t="shared" si="2"/>
        <v>173</v>
      </c>
      <c r="GA4" s="3">
        <f t="shared" si="2"/>
        <v>174</v>
      </c>
      <c r="GB4" s="3">
        <f t="shared" si="2"/>
        <v>175</v>
      </c>
      <c r="GC4" s="3">
        <f t="shared" si="2"/>
        <v>176</v>
      </c>
      <c r="GD4" s="3">
        <f t="shared" si="2"/>
        <v>177</v>
      </c>
      <c r="GE4" s="3">
        <f t="shared" si="2"/>
        <v>178</v>
      </c>
      <c r="GF4" s="3">
        <f t="shared" si="2"/>
        <v>179</v>
      </c>
      <c r="GG4" s="3">
        <f t="shared" si="2"/>
        <v>180</v>
      </c>
    </row>
    <row r="5" spans="2:189" ht="30" customHeight="1" x14ac:dyDescent="0.3">
      <c r="B5" s="6" t="s">
        <v>12</v>
      </c>
      <c r="C5" s="7">
        <v>1</v>
      </c>
      <c r="D5" s="7">
        <v>1</v>
      </c>
      <c r="E5" s="7"/>
      <c r="F5" s="7"/>
      <c r="G5" s="7" t="s">
        <v>15</v>
      </c>
      <c r="H5" s="7" t="s">
        <v>78</v>
      </c>
      <c r="I5" s="8">
        <v>0</v>
      </c>
    </row>
    <row r="6" spans="2:189" ht="30" customHeight="1" x14ac:dyDescent="0.3">
      <c r="B6" s="6" t="s">
        <v>13</v>
      </c>
      <c r="C6" s="7">
        <v>1</v>
      </c>
      <c r="D6" s="7">
        <v>7</v>
      </c>
      <c r="E6" s="7"/>
      <c r="F6" s="7"/>
      <c r="G6" s="7" t="s">
        <v>15</v>
      </c>
      <c r="H6" s="7" t="s">
        <v>79</v>
      </c>
      <c r="I6" s="8">
        <v>0</v>
      </c>
    </row>
    <row r="7" spans="2:189" ht="30" customHeight="1" x14ac:dyDescent="0.3">
      <c r="B7" s="25" t="s">
        <v>20</v>
      </c>
      <c r="C7" s="7">
        <v>1</v>
      </c>
      <c r="D7" s="7">
        <v>2</v>
      </c>
      <c r="E7" s="7"/>
      <c r="F7" s="7"/>
      <c r="G7" s="26" t="s">
        <v>19</v>
      </c>
      <c r="H7" s="7" t="s">
        <v>80</v>
      </c>
      <c r="I7" s="8">
        <v>0</v>
      </c>
    </row>
    <row r="8" spans="2:189" ht="30" customHeight="1" x14ac:dyDescent="0.3">
      <c r="B8" s="25" t="s">
        <v>16</v>
      </c>
      <c r="C8" s="7">
        <v>3</v>
      </c>
      <c r="D8" s="7">
        <v>28</v>
      </c>
      <c r="E8" s="7"/>
      <c r="F8" s="7"/>
      <c r="G8" s="26" t="s">
        <v>17</v>
      </c>
      <c r="H8" s="7" t="s">
        <v>81</v>
      </c>
      <c r="I8" s="8">
        <v>0</v>
      </c>
    </row>
    <row r="9" spans="2:189" ht="30" customHeight="1" x14ac:dyDescent="0.3">
      <c r="B9" s="25" t="s">
        <v>18</v>
      </c>
      <c r="C9" s="7">
        <v>3</v>
      </c>
      <c r="D9" s="7">
        <v>7</v>
      </c>
      <c r="E9" s="7"/>
      <c r="F9" s="7"/>
      <c r="G9" s="26" t="s">
        <v>19</v>
      </c>
      <c r="H9" s="7" t="s">
        <v>82</v>
      </c>
      <c r="I9" s="8">
        <v>0</v>
      </c>
    </row>
    <row r="10" spans="2:189" ht="30" customHeight="1" x14ac:dyDescent="0.3">
      <c r="B10" s="25" t="s">
        <v>26</v>
      </c>
      <c r="C10" s="7">
        <v>31</v>
      </c>
      <c r="D10" s="7">
        <v>7</v>
      </c>
      <c r="E10" s="7"/>
      <c r="F10" s="7"/>
      <c r="G10" s="26" t="s">
        <v>75</v>
      </c>
      <c r="H10" s="7" t="s">
        <v>83</v>
      </c>
      <c r="I10" s="8">
        <v>0</v>
      </c>
    </row>
    <row r="11" spans="2:189" ht="30" customHeight="1" x14ac:dyDescent="0.3">
      <c r="B11" s="25" t="s">
        <v>27</v>
      </c>
      <c r="C11" s="7">
        <v>38</v>
      </c>
      <c r="D11" s="7">
        <v>3</v>
      </c>
      <c r="E11" s="7"/>
      <c r="F11" s="7"/>
      <c r="G11" s="26" t="s">
        <v>17</v>
      </c>
      <c r="H11" s="7" t="s">
        <v>84</v>
      </c>
      <c r="I11" s="8">
        <v>0</v>
      </c>
    </row>
    <row r="12" spans="2:189" ht="30" customHeight="1" x14ac:dyDescent="0.3">
      <c r="B12" s="25" t="s">
        <v>28</v>
      </c>
      <c r="C12" s="7">
        <v>41</v>
      </c>
      <c r="D12" s="7">
        <v>14</v>
      </c>
      <c r="E12" s="7"/>
      <c r="F12" s="7"/>
      <c r="G12" s="26" t="s">
        <v>17</v>
      </c>
      <c r="H12" s="7" t="s">
        <v>85</v>
      </c>
      <c r="I12" s="8">
        <v>0</v>
      </c>
    </row>
    <row r="13" spans="2:189" ht="30" customHeight="1" x14ac:dyDescent="0.3">
      <c r="B13" s="6" t="s">
        <v>30</v>
      </c>
      <c r="C13" s="7">
        <v>55</v>
      </c>
      <c r="D13" s="7">
        <v>5</v>
      </c>
      <c r="E13" s="7"/>
      <c r="F13" s="7"/>
      <c r="G13" s="26" t="s">
        <v>75</v>
      </c>
      <c r="H13" s="7" t="s">
        <v>87</v>
      </c>
      <c r="I13" s="8">
        <v>0</v>
      </c>
    </row>
    <row r="14" spans="2:189" ht="30" customHeight="1" x14ac:dyDescent="0.3">
      <c r="B14" s="6" t="s">
        <v>31</v>
      </c>
      <c r="C14" s="7">
        <v>60</v>
      </c>
      <c r="D14" s="7">
        <v>3</v>
      </c>
      <c r="E14" s="7"/>
      <c r="F14" s="7"/>
      <c r="G14" s="7" t="s">
        <v>19</v>
      </c>
      <c r="H14" s="39" t="s">
        <v>86</v>
      </c>
      <c r="I14" s="8">
        <v>0</v>
      </c>
    </row>
    <row r="15" spans="2:189" ht="30" customHeight="1" x14ac:dyDescent="0.3">
      <c r="B15" s="6" t="s">
        <v>32</v>
      </c>
      <c r="C15" s="7">
        <v>63</v>
      </c>
      <c r="D15" s="7">
        <v>7</v>
      </c>
      <c r="E15" s="7"/>
      <c r="F15" s="7"/>
      <c r="G15" s="7" t="s">
        <v>33</v>
      </c>
      <c r="H15" s="7" t="s">
        <v>34</v>
      </c>
      <c r="I15" s="8">
        <v>0</v>
      </c>
    </row>
    <row r="16" spans="2:189" ht="30" customHeight="1" x14ac:dyDescent="0.3">
      <c r="B16" s="6" t="s">
        <v>35</v>
      </c>
      <c r="C16" s="9">
        <v>70</v>
      </c>
      <c r="D16" s="7">
        <v>5</v>
      </c>
      <c r="E16" s="7"/>
      <c r="F16" s="7"/>
      <c r="G16" s="7" t="s">
        <v>36</v>
      </c>
      <c r="H16" s="7" t="s">
        <v>37</v>
      </c>
      <c r="I16" s="8">
        <v>0</v>
      </c>
    </row>
    <row r="17" spans="2:9" ht="30" customHeight="1" x14ac:dyDescent="0.3">
      <c r="B17" s="6" t="s">
        <v>38</v>
      </c>
      <c r="C17" s="7">
        <v>75</v>
      </c>
      <c r="D17" s="7">
        <v>7</v>
      </c>
      <c r="E17" s="7"/>
      <c r="F17" s="7"/>
      <c r="G17" s="7" t="s">
        <v>39</v>
      </c>
      <c r="H17" s="7" t="s">
        <v>40</v>
      </c>
      <c r="I17" s="8">
        <v>0</v>
      </c>
    </row>
    <row r="18" spans="2:9" ht="30" customHeight="1" x14ac:dyDescent="0.3">
      <c r="B18" s="6" t="s">
        <v>41</v>
      </c>
      <c r="C18" s="7">
        <v>82</v>
      </c>
      <c r="D18" s="7">
        <v>5</v>
      </c>
      <c r="E18" s="7"/>
      <c r="F18" s="7"/>
      <c r="G18" s="26" t="s">
        <v>42</v>
      </c>
      <c r="H18" s="7" t="s">
        <v>43</v>
      </c>
      <c r="I18" s="8">
        <v>0</v>
      </c>
    </row>
    <row r="19" spans="2:9" ht="30" customHeight="1" x14ac:dyDescent="0.3">
      <c r="B19" s="6" t="s">
        <v>44</v>
      </c>
      <c r="C19" s="7">
        <v>87</v>
      </c>
      <c r="D19" s="7">
        <v>3</v>
      </c>
      <c r="E19" s="7"/>
      <c r="F19" s="7"/>
      <c r="G19" s="7" t="s">
        <v>36</v>
      </c>
      <c r="H19" s="7" t="s">
        <v>45</v>
      </c>
      <c r="I19" s="8">
        <v>0</v>
      </c>
    </row>
    <row r="20" spans="2:9" ht="30" customHeight="1" x14ac:dyDescent="0.3">
      <c r="B20" s="6" t="s">
        <v>46</v>
      </c>
      <c r="C20" s="7">
        <v>90</v>
      </c>
      <c r="D20" s="7">
        <v>10</v>
      </c>
      <c r="E20" s="7"/>
      <c r="F20" s="7"/>
      <c r="G20" s="39" t="s">
        <v>47</v>
      </c>
      <c r="H20" s="7" t="s">
        <v>48</v>
      </c>
      <c r="I20" s="8">
        <v>0</v>
      </c>
    </row>
    <row r="21" spans="2:9" ht="30" customHeight="1" x14ac:dyDescent="0.3">
      <c r="B21" s="6" t="s">
        <v>49</v>
      </c>
      <c r="C21" s="7">
        <v>100</v>
      </c>
      <c r="D21" s="7">
        <v>10</v>
      </c>
      <c r="E21" s="7"/>
      <c r="F21" s="7"/>
      <c r="G21" s="7" t="s">
        <v>50</v>
      </c>
      <c r="H21" s="26" t="s">
        <v>51</v>
      </c>
      <c r="I21" s="8">
        <v>0</v>
      </c>
    </row>
    <row r="22" spans="2:9" ht="30" customHeight="1" x14ac:dyDescent="0.3">
      <c r="B22" s="6" t="s">
        <v>52</v>
      </c>
      <c r="C22" s="7">
        <v>110</v>
      </c>
      <c r="D22" s="7">
        <v>10</v>
      </c>
      <c r="E22" s="7"/>
      <c r="F22" s="7"/>
      <c r="G22" s="7" t="s">
        <v>50</v>
      </c>
      <c r="H22" s="7" t="s">
        <v>53</v>
      </c>
      <c r="I22" s="8">
        <v>0</v>
      </c>
    </row>
    <row r="23" spans="2:9" ht="30" customHeight="1" x14ac:dyDescent="0.3">
      <c r="B23" s="25" t="s">
        <v>54</v>
      </c>
      <c r="C23" s="7">
        <v>120</v>
      </c>
      <c r="D23" s="7">
        <v>15</v>
      </c>
      <c r="E23" s="7"/>
      <c r="F23" s="7"/>
      <c r="G23" s="7" t="s">
        <v>50</v>
      </c>
      <c r="H23" s="7" t="s">
        <v>55</v>
      </c>
      <c r="I23" s="8">
        <v>0</v>
      </c>
    </row>
    <row r="24" spans="2:9" ht="30" customHeight="1" x14ac:dyDescent="0.3">
      <c r="B24" s="6" t="s">
        <v>56</v>
      </c>
      <c r="C24" s="7">
        <v>135</v>
      </c>
      <c r="D24" s="7">
        <v>5</v>
      </c>
      <c r="E24" s="7"/>
      <c r="F24" s="7"/>
      <c r="G24" s="26" t="s">
        <v>57</v>
      </c>
      <c r="H24" s="26" t="s">
        <v>58</v>
      </c>
      <c r="I24" s="8">
        <v>0</v>
      </c>
    </row>
    <row r="25" spans="2:9" ht="30" customHeight="1" x14ac:dyDescent="0.3">
      <c r="B25" s="6" t="s">
        <v>59</v>
      </c>
      <c r="C25" s="7">
        <v>140</v>
      </c>
      <c r="D25" s="7">
        <v>7</v>
      </c>
      <c r="E25" s="7"/>
      <c r="F25" s="7"/>
      <c r="G25" s="7" t="s">
        <v>60</v>
      </c>
      <c r="H25" s="7" t="s">
        <v>61</v>
      </c>
      <c r="I25" s="8">
        <v>0</v>
      </c>
    </row>
    <row r="26" spans="2:9" ht="30" customHeight="1" x14ac:dyDescent="0.3">
      <c r="B26" s="6" t="s">
        <v>62</v>
      </c>
      <c r="C26" s="7">
        <v>147</v>
      </c>
      <c r="D26" s="7">
        <v>8</v>
      </c>
      <c r="E26" s="7"/>
      <c r="F26" s="7"/>
      <c r="G26" s="7" t="s">
        <v>50</v>
      </c>
      <c r="H26" s="7" t="s">
        <v>63</v>
      </c>
      <c r="I26" s="8">
        <v>0</v>
      </c>
    </row>
    <row r="27" spans="2:9" ht="30" customHeight="1" x14ac:dyDescent="0.3">
      <c r="B27" s="6" t="s">
        <v>64</v>
      </c>
      <c r="C27" s="7">
        <v>155</v>
      </c>
      <c r="D27" s="7">
        <v>5</v>
      </c>
      <c r="E27" s="7"/>
      <c r="F27" s="7"/>
      <c r="G27" s="7" t="s">
        <v>65</v>
      </c>
      <c r="H27" s="7" t="s">
        <v>66</v>
      </c>
      <c r="I27" s="8">
        <v>0</v>
      </c>
    </row>
    <row r="28" spans="2:9" ht="30" customHeight="1" x14ac:dyDescent="0.3">
      <c r="B28" s="6" t="s">
        <v>67</v>
      </c>
      <c r="C28" s="7">
        <v>160</v>
      </c>
      <c r="D28" s="7">
        <v>7</v>
      </c>
      <c r="E28" s="7"/>
      <c r="F28" s="7"/>
      <c r="G28" s="7" t="s">
        <v>68</v>
      </c>
      <c r="H28" s="7" t="s">
        <v>69</v>
      </c>
      <c r="I28" s="8">
        <v>0</v>
      </c>
    </row>
    <row r="29" spans="2:9" ht="30" customHeight="1" x14ac:dyDescent="0.3">
      <c r="B29" s="6" t="s">
        <v>70</v>
      </c>
      <c r="C29" s="7">
        <v>167</v>
      </c>
      <c r="D29" s="7">
        <v>8</v>
      </c>
      <c r="E29" s="7"/>
      <c r="F29" s="7"/>
      <c r="G29" s="7" t="s">
        <v>50</v>
      </c>
      <c r="H29" s="7" t="s">
        <v>71</v>
      </c>
      <c r="I29" s="8">
        <v>0</v>
      </c>
    </row>
    <row r="30" spans="2:9" ht="30" customHeight="1" x14ac:dyDescent="0.3">
      <c r="B30" s="6" t="s">
        <v>72</v>
      </c>
      <c r="C30" s="7">
        <v>175</v>
      </c>
      <c r="D30" s="7">
        <v>3</v>
      </c>
      <c r="E30" s="7"/>
      <c r="F30" s="7"/>
      <c r="G30" s="7" t="s">
        <v>73</v>
      </c>
      <c r="H30" s="7" t="s">
        <v>74</v>
      </c>
      <c r="I30" s="8">
        <v>0</v>
      </c>
    </row>
    <row r="31" spans="2:9" ht="30" customHeight="1" x14ac:dyDescent="0.3">
      <c r="B31" s="6" t="s">
        <v>76</v>
      </c>
      <c r="C31" s="7">
        <v>178</v>
      </c>
      <c r="D31" s="7">
        <v>3</v>
      </c>
      <c r="E31" s="7"/>
      <c r="F31" s="7"/>
      <c r="G31" s="7" t="s">
        <v>75</v>
      </c>
      <c r="H31" s="7" t="s">
        <v>77</v>
      </c>
      <c r="I31" s="8">
        <v>0</v>
      </c>
    </row>
  </sheetData>
  <mergeCells count="12">
    <mergeCell ref="AK2:AR2"/>
    <mergeCell ref="B3:B4"/>
    <mergeCell ref="C3:C4"/>
    <mergeCell ref="D3:D4"/>
    <mergeCell ref="E3:E4"/>
    <mergeCell ref="F3:F4"/>
    <mergeCell ref="I3:I4"/>
    <mergeCell ref="M2:Q2"/>
    <mergeCell ref="S2:V2"/>
    <mergeCell ref="X2:AA2"/>
    <mergeCell ref="AC2:AI2"/>
    <mergeCell ref="G3:G4"/>
  </mergeCells>
  <conditionalFormatting sqref="B32:CU32">
    <cfRule type="expression" dxfId="9" priority="482">
      <formula>TRUE</formula>
    </cfRule>
  </conditionalFormatting>
  <conditionalFormatting sqref="J4:GG4">
    <cfRule type="expression" dxfId="8" priority="488">
      <formula>J$4=period_selected</formula>
    </cfRule>
  </conditionalFormatting>
  <conditionalFormatting sqref="J5:GG31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J$4=period_selected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J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L2" xr:uid="{00000000-0002-0000-0000-000002000000}"/>
    <dataValidation allowBlank="1" showInputMessage="1" showErrorMessage="1" prompt="This legend cell indicates actual duration" sqref="R2" xr:uid="{00000000-0002-0000-0000-000003000000}"/>
    <dataValidation allowBlank="1" showInputMessage="1" showErrorMessage="1" prompt="This legend cell indicates the percentage of project completed" sqref="W2" xr:uid="{00000000-0002-0000-0000-000004000000}"/>
    <dataValidation allowBlank="1" showInputMessage="1" showErrorMessage="1" prompt="This legend cell indicates actual duration beyond plan" sqref="AB2" xr:uid="{00000000-0002-0000-0000-000005000000}"/>
    <dataValidation allowBlank="1" showInputMessage="1" showErrorMessage="1" prompt="This legend cell indicates the percentage of project completed beyond plan" sqref="AJ2" xr:uid="{00000000-0002-0000-0000-000006000000}"/>
    <dataValidation allowBlank="1" showInputMessage="1" showErrorMessage="1" prompt="Periods are charted from 1 to 60 starting from cell H4 to cell BO4 " sqref="J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H4" xr:uid="{00000000-0002-0000-0000-00000C000000}"/>
    <dataValidation allowBlank="1" showInputMessage="1" showErrorMessage="1" prompt="Enter the percentage of project completed in column G, starting with cell G5" sqref="I3:I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H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2025-12-11T04:19:18Z</dcterms:modified>
</cp:coreProperties>
</file>